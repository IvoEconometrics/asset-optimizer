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4"/>
  <workbookPr/>
  <mc:AlternateContent xmlns:mc="http://schemas.openxmlformats.org/markup-compatibility/2006">
    <mc:Choice Requires="x15">
      <x15ac:absPath xmlns:x15ac="http://schemas.microsoft.com/office/spreadsheetml/2010/11/ac" url="https://achmea.sharepoint.com/sites/GRP-TeunsTeams/Shared Documents/"/>
    </mc:Choice>
  </mc:AlternateContent>
  <xr:revisionPtr revIDLastSave="0" documentId="8_{2FBACF3B-8065-405D-8AE3-677BD97097B9}" xr6:coauthVersionLast="47" xr6:coauthVersionMax="47" xr10:uidLastSave="{00000000-0000-0000-0000-000000000000}"/>
  <bookViews>
    <workbookView xWindow="-120" yWindow="-120" windowWidth="29040" windowHeight="17520" firstSheet="1" activeTab="1" xr2:uid="{7F97A3E3-B450-44D4-96FF-393E0AD75368}"/>
  </bookViews>
  <sheets>
    <sheet name="uitleg" sheetId="3" r:id="rId1"/>
    <sheet name="portfolios" sheetId="1" r:id="rId2"/>
    <sheet name="frontier" sheetId="2" r:id="rId3"/>
  </sheets>
  <externalReferences>
    <externalReference r:id="rId4"/>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I24" i="1" l="1"/>
  <c r="I8" i="1"/>
  <c r="I9" i="1"/>
  <c r="I11" i="1"/>
  <c r="I12" i="1"/>
  <c r="I19" i="1"/>
  <c r="I20" i="1"/>
  <c r="I25" i="1"/>
  <c r="I3" i="1"/>
  <c r="C3" i="1"/>
  <c r="D3" i="1"/>
  <c r="E3" i="1"/>
  <c r="F3" i="1"/>
  <c r="G3" i="1"/>
  <c r="H3" i="1"/>
  <c r="H32" i="1"/>
  <c r="I6" i="1"/>
  <c r="J8" i="1"/>
  <c r="J7" i="1"/>
  <c r="J32" i="1" s="1"/>
  <c r="J6" i="1"/>
  <c r="L24" i="1"/>
  <c r="K25" i="1"/>
  <c r="L25" i="1"/>
  <c r="J25" i="1"/>
  <c r="D25" i="1"/>
  <c r="E25" i="1"/>
  <c r="E32" i="1" s="1"/>
  <c r="F25" i="1"/>
  <c r="F32" i="1" s="1"/>
  <c r="G25" i="1"/>
  <c r="H25" i="1"/>
  <c r="C25" i="1"/>
  <c r="C32" i="1" s="1"/>
  <c r="K7" i="1"/>
  <c r="K6" i="1"/>
  <c r="L6" i="1"/>
  <c r="D6" i="1"/>
  <c r="E6" i="1"/>
  <c r="F6" i="1"/>
  <c r="G6" i="1"/>
  <c r="H6" i="1"/>
  <c r="C6" i="1"/>
  <c r="I4" i="1"/>
  <c r="I5" i="1"/>
  <c r="J3" i="1"/>
  <c r="K3" i="1"/>
  <c r="L3" i="1"/>
  <c r="D4" i="1"/>
  <c r="E4" i="1"/>
  <c r="F4" i="1"/>
  <c r="G4" i="1"/>
  <c r="H4" i="1"/>
  <c r="J4" i="1"/>
  <c r="K4" i="1"/>
  <c r="L4" i="1"/>
  <c r="D5" i="1"/>
  <c r="E5" i="1"/>
  <c r="F5" i="1"/>
  <c r="G5" i="1"/>
  <c r="H5" i="1"/>
  <c r="J5" i="1"/>
  <c r="K5" i="1"/>
  <c r="L5" i="1"/>
  <c r="D7" i="1"/>
  <c r="E7" i="1"/>
  <c r="F7" i="1"/>
  <c r="G7" i="1"/>
  <c r="H7" i="1"/>
  <c r="L7" i="1"/>
  <c r="D8" i="1"/>
  <c r="E8" i="1"/>
  <c r="F8" i="1"/>
  <c r="G8" i="1"/>
  <c r="H8" i="1"/>
  <c r="K8" i="1"/>
  <c r="L8" i="1"/>
  <c r="D9" i="1"/>
  <c r="E9" i="1"/>
  <c r="F9" i="1"/>
  <c r="G9" i="1"/>
  <c r="H9" i="1"/>
  <c r="J9" i="1"/>
  <c r="K9" i="1"/>
  <c r="L9" i="1"/>
  <c r="D11" i="1"/>
  <c r="E11" i="1"/>
  <c r="F11" i="1"/>
  <c r="G11" i="1"/>
  <c r="H11" i="1"/>
  <c r="J11" i="1"/>
  <c r="K11" i="1"/>
  <c r="L11" i="1"/>
  <c r="D12" i="1"/>
  <c r="E12" i="1"/>
  <c r="F12" i="1"/>
  <c r="G12" i="1"/>
  <c r="H12" i="1"/>
  <c r="J12" i="1"/>
  <c r="K12" i="1"/>
  <c r="L12" i="1"/>
  <c r="D16" i="1"/>
  <c r="E16" i="1"/>
  <c r="F16" i="1"/>
  <c r="G16" i="1"/>
  <c r="H16" i="1"/>
  <c r="J16" i="1"/>
  <c r="K16" i="1"/>
  <c r="L16" i="1"/>
  <c r="D19" i="1"/>
  <c r="E19" i="1"/>
  <c r="F19" i="1"/>
  <c r="G19" i="1"/>
  <c r="H19" i="1"/>
  <c r="J19" i="1"/>
  <c r="K19" i="1"/>
  <c r="L19" i="1"/>
  <c r="D20" i="1"/>
  <c r="E20" i="1"/>
  <c r="F20" i="1"/>
  <c r="G20" i="1"/>
  <c r="H20" i="1"/>
  <c r="J20" i="1"/>
  <c r="K20" i="1"/>
  <c r="L20" i="1"/>
  <c r="C16" i="1"/>
  <c r="C20" i="1"/>
  <c r="C19" i="1"/>
  <c r="C12" i="1"/>
  <c r="C11" i="1"/>
  <c r="C9" i="1"/>
  <c r="C8" i="1"/>
  <c r="C7" i="1"/>
  <c r="C5" i="1"/>
  <c r="C4" i="1"/>
  <c r="I2" i="1"/>
  <c r="J2" i="1"/>
  <c r="K2" i="1"/>
  <c r="L2" i="1"/>
  <c r="D2" i="1"/>
  <c r="E2" i="1"/>
  <c r="F2" i="1"/>
  <c r="G2" i="1"/>
  <c r="H2" i="1"/>
  <c r="C2" i="1"/>
  <c r="B29" i="2"/>
  <c r="B28" i="2"/>
  <c r="B27" i="2"/>
  <c r="G32" i="1" l="1"/>
  <c r="L32" i="1"/>
  <c r="I32" i="1"/>
  <c r="D32" i="1"/>
  <c r="K32" i="1"/>
</calcChain>
</file>

<file path=xl/sharedStrings.xml><?xml version="1.0" encoding="utf-8"?>
<sst xmlns="http://schemas.openxmlformats.org/spreadsheetml/2006/main" count="62" uniqueCount="36">
  <si>
    <t>Portfolios</t>
  </si>
  <si>
    <t>Aandelen Opkomende Markten</t>
  </si>
  <si>
    <t>Aandelen Wereld DC</t>
  </si>
  <si>
    <t>Aandelen Wereld DC Unhedged</t>
  </si>
  <si>
    <t>Bank Loans</t>
  </si>
  <si>
    <t>Beursgenoteerd Vastgoed</t>
  </si>
  <si>
    <t>Cash</t>
  </si>
  <si>
    <t>Direct Lending Europa</t>
  </si>
  <si>
    <t>Duitse Staatsobligaties</t>
  </si>
  <si>
    <t>EMD HC</t>
  </si>
  <si>
    <t>EMD LC</t>
  </si>
  <si>
    <t>Euro IG Credits</t>
  </si>
  <si>
    <t>Euro ILBs</t>
  </si>
  <si>
    <t>Euro Staatsobligaties</t>
  </si>
  <si>
    <t>Global High Yield</t>
  </si>
  <si>
    <t>Global IG Credits</t>
  </si>
  <si>
    <t>Global ILBs</t>
  </si>
  <si>
    <t>Grondstoffen</t>
  </si>
  <si>
    <t>Hedge Funds</t>
  </si>
  <si>
    <t>Internationaal Privaat Vastgoed</t>
  </si>
  <si>
    <t>Italisaanse Staatsobligaties</t>
  </si>
  <si>
    <t>Nederlandse Hypotheken</t>
  </si>
  <si>
    <t>Privaat Infrastructuur</t>
  </si>
  <si>
    <t>Privaat Vastgoed NL</t>
  </si>
  <si>
    <t>Private Equity</t>
  </si>
  <si>
    <t>Looninflatie NL</t>
  </si>
  <si>
    <t>Prijsinflatie NL</t>
  </si>
  <si>
    <t>Rente</t>
  </si>
  <si>
    <t>Frontier</t>
  </si>
  <si>
    <t>min</t>
  </si>
  <si>
    <t>max</t>
  </si>
  <si>
    <t>VRW</t>
  </si>
  <si>
    <t>A</t>
  </si>
  <si>
    <t>B</t>
  </si>
  <si>
    <t>Benchmark</t>
  </si>
  <si>
    <t xml:space="preserve">Rente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</si>
</sst>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5" tint="0.39997558519241921"/>
        <bgColor indexed="64"/>
      </patternFill>
    </fill>
  </fills>
  <borders count="27">
    <border>
      <left/>
      <right/>
      <top/>
      <bottom/>
      <diagonal/>
    </border>
    <border>
      <left/>
      <right/>
      <top/>
      <bottom style="thin">
        <color indexed="64"/>
      </bottom>
      <diagonal/>
    </border>
    <border diagonalUp="1" diagonalDown="1">
      <left/>
      <right/>
      <top style="thin">
        <color indexed="64"/>
      </top>
      <bottom style="thin">
        <color indexed="64"/>
      </bottom>
      <diagonal style="thin">
        <color indexed="64"/>
      </diagonal>
    </border>
    <border diagonalUp="1" diagonalDown="1">
      <left/>
      <right/>
      <top style="thin">
        <color indexed="64"/>
      </top>
      <bottom/>
      <diagonal style="thin">
        <color indexed="64"/>
      </diagonal>
    </border>
    <border diagonalUp="1" diagonalDown="1">
      <left/>
      <right/>
      <top/>
      <bottom/>
      <diagonal style="thin">
        <color indexed="64"/>
      </diagonal>
    </border>
    <border diagonalUp="1" diagonalDown="1">
      <left/>
      <right/>
      <top/>
      <bottom style="thin">
        <color indexed="64"/>
      </bottom>
      <diagonal style="thin">
        <color indexed="64"/>
      </diagonal>
    </border>
    <border diagonalUp="1" diagonalDown="1">
      <left style="thin">
        <color indexed="64"/>
      </left>
      <right/>
      <top style="thin">
        <color indexed="64"/>
      </top>
      <bottom style="thin">
        <color indexed="64"/>
      </bottom>
      <diagonal style="thin">
        <color indexed="64"/>
      </diagonal>
    </border>
    <border diagonalUp="1" diagonalDown="1">
      <left style="thin">
        <color indexed="64"/>
      </left>
      <right/>
      <top style="thin">
        <color indexed="64"/>
      </top>
      <bottom/>
      <diagonal style="thin">
        <color indexed="64"/>
      </diagonal>
    </border>
    <border diagonalUp="1" diagonalDown="1">
      <left style="thin">
        <color indexed="64"/>
      </left>
      <right/>
      <top/>
      <bottom/>
      <diagonal style="thin">
        <color indexed="64"/>
      </diagonal>
    </border>
    <border diagonalUp="1" diagonalDown="1">
      <left style="thin">
        <color indexed="64"/>
      </left>
      <right/>
      <top/>
      <bottom style="thin">
        <color indexed="64"/>
      </bottom>
      <diagonal style="thin">
        <color indexed="64"/>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diagonalUp="1" diagonalDown="1">
      <left/>
      <right style="medium">
        <color indexed="64"/>
      </right>
      <top style="thin">
        <color indexed="64"/>
      </top>
      <bottom/>
      <diagonal style="thin">
        <color indexed="64"/>
      </diagonal>
    </border>
    <border diagonalUp="1" diagonalDown="1">
      <left/>
      <right style="medium">
        <color indexed="64"/>
      </right>
      <top/>
      <bottom/>
      <diagonal style="thin">
        <color indexed="64"/>
      </diagonal>
    </border>
    <border diagonalUp="1" diagonalDown="1">
      <left/>
      <right style="medium">
        <color indexed="64"/>
      </right>
      <top/>
      <bottom style="thin">
        <color indexed="64"/>
      </bottom>
      <diagonal style="thin">
        <color indexed="64"/>
      </diagonal>
    </border>
    <border>
      <left style="medium">
        <color indexed="64"/>
      </left>
      <right/>
      <top style="thin">
        <color indexed="64"/>
      </top>
      <bottom style="thin">
        <color indexed="64"/>
      </bottom>
      <diagonal/>
    </border>
    <border diagonalUp="1" diagonalDown="1">
      <left/>
      <right style="medium">
        <color indexed="64"/>
      </right>
      <top style="thin">
        <color indexed="64"/>
      </top>
      <bottom style="thin">
        <color indexed="64"/>
      </bottom>
      <diagonal style="thin">
        <color indexed="64"/>
      </diagonal>
    </border>
    <border>
      <left style="medium">
        <color indexed="64"/>
      </left>
      <right/>
      <top/>
      <bottom style="medium">
        <color indexed="64"/>
      </bottom>
      <diagonal/>
    </border>
    <border>
      <left/>
      <right/>
      <top/>
      <bottom style="medium">
        <color indexed="64"/>
      </bottom>
      <diagonal/>
    </border>
    <border diagonalUp="1" diagonalDown="1">
      <left style="thin">
        <color indexed="64"/>
      </left>
      <right/>
      <top style="thin">
        <color indexed="64"/>
      </top>
      <bottom style="medium">
        <color indexed="64"/>
      </bottom>
      <diagonal style="thin">
        <color indexed="64"/>
      </diagonal>
    </border>
    <border diagonalUp="1" diagonalDown="1">
      <left/>
      <right/>
      <top/>
      <bottom style="medium">
        <color indexed="64"/>
      </bottom>
      <diagonal style="thin">
        <color indexed="64"/>
      </diagonal>
    </border>
    <border diagonalUp="1" diagonalDown="1">
      <left/>
      <right style="medium">
        <color indexed="64"/>
      </right>
      <top/>
      <bottom style="medium">
        <color indexed="64"/>
      </bottom>
      <diagonal style="thin">
        <color indexed="64"/>
      </diagonal>
    </border>
  </borders>
  <cellStyleXfs count="1">
    <xf numFmtId="0" fontId="0" fillId="0" borderId="0"/>
  </cellStyleXfs>
  <cellXfs count="32">
    <xf numFmtId="0" fontId="0" fillId="0" borderId="0" xfId="0"/>
    <xf numFmtId="0" fontId="0" fillId="0" borderId="1" xfId="0" applyBorder="1"/>
    <xf numFmtId="0" fontId="0" fillId="0" borderId="3" xfId="0" applyBorder="1"/>
    <xf numFmtId="0" fontId="0" fillId="0" borderId="4" xfId="0" applyBorder="1"/>
    <xf numFmtId="0" fontId="0" fillId="0" borderId="5" xfId="0" applyBorder="1"/>
    <xf numFmtId="0" fontId="0" fillId="0" borderId="2" xfId="0" applyBorder="1"/>
    <xf numFmtId="0" fontId="0" fillId="0" borderId="7" xfId="0" applyBorder="1"/>
    <xf numFmtId="0" fontId="0" fillId="0" borderId="8" xfId="0" applyBorder="1"/>
    <xf numFmtId="0" fontId="0" fillId="0" borderId="9" xfId="0" applyBorder="1"/>
    <xf numFmtId="0" fontId="0" fillId="0" borderId="6" xfId="0" applyBorder="1"/>
    <xf numFmtId="0" fontId="1" fillId="0" borderId="10" xfId="0" applyFont="1" applyBorder="1"/>
    <xf numFmtId="0" fontId="0" fillId="0" borderId="11" xfId="0" applyBorder="1"/>
    <xf numFmtId="0" fontId="0" fillId="0" borderId="13" xfId="0" applyBorder="1"/>
    <xf numFmtId="0" fontId="0" fillId="0" borderId="15"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0" fontId="0" fillId="0" borderId="24" xfId="0" applyBorder="1"/>
    <xf numFmtId="0" fontId="0" fillId="0" borderId="25" xfId="0" applyBorder="1"/>
    <xf numFmtId="0" fontId="0" fillId="0" borderId="26" xfId="0" applyBorder="1"/>
    <xf numFmtId="0" fontId="0" fillId="2" borderId="11" xfId="0" applyFill="1" applyBorder="1"/>
    <xf numFmtId="0" fontId="0" fillId="2" borderId="12" xfId="0" applyFill="1" applyBorder="1"/>
    <xf numFmtId="0" fontId="0" fillId="2" borderId="0" xfId="0" applyFill="1"/>
    <xf numFmtId="0" fontId="0" fillId="2" borderId="14" xfId="0" applyFill="1" applyBorder="1"/>
    <xf numFmtId="0" fontId="0" fillId="2" borderId="1" xfId="0" applyFill="1" applyBorder="1"/>
    <xf numFmtId="0" fontId="0" fillId="2" borderId="16" xfId="0" applyFill="1" applyBorder="1"/>
    <xf numFmtId="0" fontId="0" fillId="2" borderId="23" xfId="0" applyFill="1" applyBorder="1"/>
    <xf numFmtId="9" fontId="0" fillId="0" borderId="0" xfId="0" applyNumberFormat="1"/>
    <xf numFmtId="0" fontId="1" fillId="0" borderId="0" xfId="0" applyFont="1"/>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externalLink" Target="externalLinks/externalLink1.xml"/><Relationship Id="rId9"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1</xdr:col>
      <xdr:colOff>453390</xdr:colOff>
      <xdr:row>6</xdr:row>
      <xdr:rowOff>38100</xdr:rowOff>
    </xdr:from>
    <xdr:to>
      <xdr:col>4</xdr:col>
      <xdr:colOff>34290</xdr:colOff>
      <xdr:row>51</xdr:row>
      <xdr:rowOff>15239</xdr:rowOff>
    </xdr:to>
    <xdr:sp macro="" textlink="">
      <xdr:nvSpPr>
        <xdr:cNvPr id="2" name="Tekstvak 1">
          <a:extLst>
            <a:ext uri="{FF2B5EF4-FFF2-40B4-BE49-F238E27FC236}">
              <a16:creationId xmlns:a16="http://schemas.microsoft.com/office/drawing/2014/main" id="{C50E3D0F-235F-553C-41AA-8B59555DFBF0}"/>
            </a:ext>
          </a:extLst>
        </xdr:cNvPr>
        <xdr:cNvSpPr txBox="1"/>
      </xdr:nvSpPr>
      <xdr:spPr>
        <a:xfrm>
          <a:off x="1062990" y="990600"/>
          <a:ext cx="4381500" cy="8549639"/>
        </a:xfrm>
        <a:prstGeom prst="rect">
          <a:avLst/>
        </a:prstGeom>
        <a:solidFill>
          <a:sysClr val="window" lastClr="FFFF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100"/>
            <a:t>Dit is het input excel bestand voor de Scenario</a:t>
          </a:r>
          <a:r>
            <a:rPr lang="nl-NL" sz="1100" baseline="0"/>
            <a:t> Optimizer.</a:t>
          </a:r>
        </a:p>
        <a:p>
          <a:endParaRPr lang="nl-NL" sz="1100" baseline="0"/>
        </a:p>
        <a:p>
          <a:r>
            <a:rPr lang="nl-NL" sz="1100" baseline="0"/>
            <a:t>Het bestaat uit twee tabbladen voor verschillende doeleinden.</a:t>
          </a:r>
        </a:p>
        <a:p>
          <a:endParaRPr lang="nl-NL" sz="1100" baseline="0"/>
        </a:p>
        <a:p>
          <a:r>
            <a:rPr lang="nl-NL" sz="1200" b="1" baseline="0"/>
            <a:t>Portfolios:</a:t>
          </a:r>
        </a:p>
        <a:p>
          <a:r>
            <a:rPr lang="nl-NL" sz="1100"/>
            <a:t>Tabblad</a:t>
          </a:r>
          <a:r>
            <a:rPr lang="nl-NL" sz="1100" baseline="0"/>
            <a:t> "portfolios'' is een input bestand om vooraf geconstueerde portfolios door te rekenen om de gemiddelde rendement en volatiliteit over de Flags en Frictions scenario set te verkrijgen.  </a:t>
          </a:r>
          <a:br>
            <a:rPr lang="nl-NL" sz="1100" baseline="0"/>
          </a:br>
          <a:br>
            <a:rPr lang="nl-NL" sz="1100" baseline="0"/>
          </a:br>
          <a:r>
            <a:rPr lang="nl-NL" sz="1100" baseline="0"/>
            <a:t>De colomen PF1, PF2, etc. kunnen aangepast worden naar de gebruiker zijn voorkeur; de gewichten in de colummen moeten optellen tot 1 en weerspiegelen de verdeleing van de assets in het portfolio.</a:t>
          </a:r>
        </a:p>
        <a:p>
          <a:endParaRPr lang="nl-NL" sz="1100" baseline="0"/>
        </a:p>
        <a:p>
          <a:r>
            <a:rPr lang="nl-NL" sz="1100" baseline="0"/>
            <a:t>Onder de streep staan benchmark assets. Bij gebruik van de benchmarks worden de maatstaven in termen van de excess returns t.o.v. de benchmark gegeven.  De gewichten van de benchmarks worden bij elkaar opgetelt om zo een benchmark per portfolio te maken, elk portfolio kan zijn eigen benchmark krijgen, en wordt standaard doorgerekend zonder benchmark.</a:t>
          </a:r>
        </a:p>
        <a:p>
          <a:endParaRPr lang="nl-NL" sz="1100" baseline="0"/>
        </a:p>
        <a:p>
          <a:r>
            <a:rPr lang="nl-NL" sz="1100" baseline="0"/>
            <a:t>De gewichten van de portfolio's moeten optellen tot 1. De gewichten van de benchmarks niet perse: Zo kan men als doelstelling hebben om tenminste 90 procent van de looninflatie bij te houden.</a:t>
          </a:r>
        </a:p>
        <a:p>
          <a:endParaRPr lang="nl-NL" sz="1100" baseline="0"/>
        </a:p>
        <a:p>
          <a:r>
            <a:rPr lang="nl-NL" sz="1400" b="1" baseline="0"/>
            <a:t>Frontier:</a:t>
          </a:r>
        </a:p>
        <a:p>
          <a:r>
            <a:rPr lang="nl-NL" sz="1100" baseline="0"/>
            <a:t>Op dit tabblad kan men instellingen meegeven om een efficiente grenslijn te berekenen voor een vooraf gedefineerde set van assets.</a:t>
          </a:r>
        </a:p>
        <a:p>
          <a:endParaRPr lang="nl-NL" sz="1100" baseline="0"/>
        </a:p>
        <a:p>
          <a:r>
            <a:rPr lang="nl-NL" sz="1100" baseline="0"/>
            <a:t>In de min, en max column geeft men de bandbreedtes aan van de assets en de groepen: De frontier berekend de optimale portfolios die binnnen deze bandbreedtes vallen op basis de risico-rendements verhouding.</a:t>
          </a:r>
        </a:p>
        <a:p>
          <a:endParaRPr lang="nl-NL" sz="1100" baseline="0"/>
        </a:p>
        <a:p>
          <a:r>
            <a:rPr lang="nl-NL" sz="1100" baseline="0"/>
            <a:t>De groepen columnen kunnen worden gebruikt om groep gebaseerde restricties toe te voegen. Het relevanste voorbeeld hiervan is de zakelijke waarde constraint:</a:t>
          </a:r>
          <a:br>
            <a:rPr lang="nl-NL" sz="1100" baseline="0"/>
          </a:br>
          <a:r>
            <a:rPr lang="nl-NL" sz="1100" baseline="0"/>
            <a:t>De weging zakelijke waarden kan per asset meegegeven worden in eenzelfde column. De minimale en maximale  totale weging van de zakelijke waarde kan vervolgens meegegeven worden in de corresponderende rij van de min- en, max- column. </a:t>
          </a:r>
        </a:p>
        <a:p>
          <a:endParaRPr lang="nl-NL" sz="1100" baseline="0"/>
        </a:p>
        <a:p>
          <a:r>
            <a:rPr lang="nl-NL" sz="1100" baseline="0"/>
            <a:t>Ook in de optimizer kan men een benchmark meegegeven: dit moet in het tabblad portfolios op de zelfde manier als de door te rekenen portfolios, de risico rendements verhouding wordt dan geoptimaliseerd m.b.t. de overrendementen t.o.v. deze benchmark. De standaard (geen benchmark) wordt ook altijd doorgerekend.</a:t>
          </a:r>
        </a:p>
        <a:p>
          <a:endParaRPr lang="nl-NL" sz="1100" baseline="0"/>
        </a:p>
        <a:p>
          <a:r>
            <a:rPr lang="nl-NL" sz="1100" baseline="0"/>
            <a:t>In het frontier bestand kunnen alle gemarkeerde cellen worden aangepast.</a:t>
          </a:r>
        </a:p>
        <a:p>
          <a:r>
            <a:rPr lang="nl-NL" sz="1100" baseline="0"/>
            <a:t>Dus ook de column namen van de groepen zoals VRW. </a:t>
          </a:r>
        </a:p>
        <a:p>
          <a:endParaRPr lang="nl-NL" sz="1100" baseline="0"/>
        </a:p>
        <a:p>
          <a:endParaRPr lang="nl-NL" sz="1100" baseline="0"/>
        </a:p>
        <a:p>
          <a:endParaRPr lang="nl-NL" sz="1100" baseline="0"/>
        </a:p>
        <a:p>
          <a:endParaRPr lang="nl-NL" sz="1100" baseline="0"/>
        </a:p>
        <a:p>
          <a:endParaRPr lang="nl-NL" sz="1100" baseline="0"/>
        </a:p>
        <a:p>
          <a:endParaRPr lang="nl-NL" sz="1100" baseline="0"/>
        </a:p>
      </xdr:txBody>
    </xdr:sp>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GRP-AIMKlanten/APF/Advies%20en%20Beheer/2026/202602%20A&amp;A%20-%20Verkenning%20nieuwe%20categorie&#235;n/Asset%20mixen%20Module%20Rendement.xlsx" TargetMode="External"/><Relationship Id="rId2" Type="http://schemas.openxmlformats.org/officeDocument/2006/relationships/externalLinkPath" Target="https://achmea.sharepoint.com/sites/GRP-AIMKlanten/APF/Advies%20en%20Beheer/2026/202602%20A&amp;A%20-%20Verkenning%20nieuwe%20categorie&#235;n/Asset%20mixen%20Module%20Rendement.xlsx" TargetMode="External"/><Relationship Id="rId1" Type="http://schemas.openxmlformats.org/officeDocument/2006/relationships/externalLinkPath" Target="/sites/GRP-AIMKlanten/APF/Advies%20en%20Beheer/2026/202602%20A&amp;A%20-%20Verkenning%20nieuwe%20categorie&#235;n/Asset%20mixen%20Module%20Rendemen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Blad1"/>
    </sheetNames>
    <sheetDataSet>
      <sheetData sheetId="0">
        <row r="25">
          <cell r="C25" t="str">
            <v>Module Rendement</v>
          </cell>
          <cell r="D25" t="str">
            <v>HF naar Aandelen</v>
          </cell>
          <cell r="E25" t="str">
            <v>HF naar rato</v>
          </cell>
          <cell r="F25" t="str">
            <v>HF naar Aandelen en VG</v>
          </cell>
          <cell r="G25" t="str">
            <v>HF naar Aandelen wereld</v>
          </cell>
          <cell r="H25" t="str">
            <v>HF naar Vastgoed</v>
          </cell>
          <cell r="J25" t="str">
            <v>HDP</v>
          </cell>
          <cell r="L25" t="str">
            <v>HF naar private debt</v>
          </cell>
          <cell r="M25" t="str">
            <v>HF naar bank loans</v>
          </cell>
          <cell r="N25" t="str">
            <v>HF naar infrastructuur</v>
          </cell>
        </row>
        <row r="26">
          <cell r="B26" t="str">
            <v>Aandelen Wereld</v>
          </cell>
          <cell r="C26">
            <v>0.4</v>
          </cell>
          <cell r="D26">
            <v>0.47499999999999998</v>
          </cell>
          <cell r="E26">
            <v>0.442</v>
          </cell>
          <cell r="F26">
            <v>0.435</v>
          </cell>
          <cell r="G26">
            <v>0.495</v>
          </cell>
          <cell r="H26">
            <v>0.4</v>
          </cell>
          <cell r="J26">
            <v>0.35</v>
          </cell>
          <cell r="L26">
            <v>0.4</v>
          </cell>
          <cell r="M26">
            <v>0.4</v>
          </cell>
          <cell r="N26">
            <v>0.4</v>
          </cell>
        </row>
        <row r="27">
          <cell r="B27" t="str">
            <v>Aandelen Opkomende Markten</v>
          </cell>
          <cell r="C27">
            <v>0.1</v>
          </cell>
          <cell r="D27">
            <v>0.12</v>
          </cell>
          <cell r="E27">
            <v>0.11</v>
          </cell>
          <cell r="F27">
            <v>0.11</v>
          </cell>
          <cell r="G27">
            <v>0.1</v>
          </cell>
          <cell r="H27">
            <v>0.1</v>
          </cell>
          <cell r="J27">
            <v>0.1</v>
          </cell>
          <cell r="L27">
            <v>0.1</v>
          </cell>
          <cell r="M27">
            <v>0.1</v>
          </cell>
          <cell r="N27">
            <v>0.1</v>
          </cell>
        </row>
        <row r="28">
          <cell r="B28" t="str">
            <v>Private debt</v>
          </cell>
          <cell r="J28">
            <v>0.05</v>
          </cell>
          <cell r="L28">
            <v>9.5000000000000001E-2</v>
          </cell>
        </row>
        <row r="29">
          <cell r="B29" t="str">
            <v>High Yield</v>
          </cell>
          <cell r="C29">
            <v>0.1</v>
          </cell>
          <cell r="D29">
            <v>0.1</v>
          </cell>
          <cell r="E29">
            <v>0.11</v>
          </cell>
          <cell r="F29">
            <v>0.1</v>
          </cell>
          <cell r="G29">
            <v>0.1</v>
          </cell>
          <cell r="H29">
            <v>0.1</v>
          </cell>
          <cell r="L29">
            <v>0.1</v>
          </cell>
          <cell r="M29">
            <v>0.1</v>
          </cell>
          <cell r="N29">
            <v>0.1</v>
          </cell>
        </row>
        <row r="30">
          <cell r="B30" t="str">
            <v>Bank loans</v>
          </cell>
          <cell r="M30">
            <v>9.5000000000000001E-2</v>
          </cell>
        </row>
        <row r="31">
          <cell r="B31" t="str">
            <v>EMD HC</v>
          </cell>
          <cell r="C31">
            <v>0.1</v>
          </cell>
          <cell r="D31">
            <v>0.1</v>
          </cell>
          <cell r="E31">
            <v>0.11</v>
          </cell>
          <cell r="F31">
            <v>0.1</v>
          </cell>
          <cell r="G31">
            <v>0.1</v>
          </cell>
          <cell r="H31">
            <v>0.1</v>
          </cell>
          <cell r="J31">
            <v>0.05</v>
          </cell>
          <cell r="L31">
            <v>0.1</v>
          </cell>
          <cell r="M31">
            <v>0.1</v>
          </cell>
          <cell r="N31">
            <v>0.1</v>
          </cell>
        </row>
        <row r="32">
          <cell r="B32" t="str">
            <v>EMD LC</v>
          </cell>
          <cell r="J32">
            <v>7.4999999999999997E-2</v>
          </cell>
        </row>
        <row r="33">
          <cell r="B33" t="str">
            <v>Vastgoed Beursgenoteerd</v>
          </cell>
          <cell r="C33">
            <v>0.04</v>
          </cell>
          <cell r="D33">
            <v>0.04</v>
          </cell>
          <cell r="E33">
            <v>4.3999999999999997E-2</v>
          </cell>
          <cell r="F33">
            <v>0.05</v>
          </cell>
          <cell r="G33">
            <v>0.04</v>
          </cell>
          <cell r="H33">
            <v>0.06</v>
          </cell>
          <cell r="L33">
            <v>0.04</v>
          </cell>
          <cell r="M33">
            <v>0.04</v>
          </cell>
          <cell r="N33">
            <v>0.04</v>
          </cell>
        </row>
        <row r="34">
          <cell r="B34" t="str">
            <v>Vastgoed niet-beursgenoteerd</v>
          </cell>
          <cell r="C34">
            <v>0.16</v>
          </cell>
          <cell r="D34">
            <v>0.16</v>
          </cell>
          <cell r="E34">
            <v>0.17699999999999999</v>
          </cell>
          <cell r="F34">
            <v>0.2</v>
          </cell>
          <cell r="G34">
            <v>0.16</v>
          </cell>
          <cell r="H34">
            <v>0.23499999999999999</v>
          </cell>
          <cell r="J34">
            <v>0.17499999999999999</v>
          </cell>
          <cell r="L34">
            <v>0.16</v>
          </cell>
          <cell r="M34">
            <v>0.16</v>
          </cell>
          <cell r="N34">
            <v>0.16</v>
          </cell>
        </row>
        <row r="35">
          <cell r="B35" t="str">
            <v>Hedge Funds</v>
          </cell>
          <cell r="C35">
            <v>9.5000000000000001E-2</v>
          </cell>
          <cell r="D35">
            <v>0</v>
          </cell>
          <cell r="E35">
            <v>0</v>
          </cell>
          <cell r="F35">
            <v>0</v>
          </cell>
          <cell r="G35">
            <v>0</v>
          </cell>
          <cell r="H35">
            <v>0</v>
          </cell>
          <cell r="J35">
            <v>0.05</v>
          </cell>
        </row>
        <row r="36">
          <cell r="B36" t="str">
            <v>Infra</v>
          </cell>
          <cell r="J36">
            <v>0.1</v>
          </cell>
          <cell r="N36">
            <v>9.5000000000000001E-2</v>
          </cell>
        </row>
        <row r="37">
          <cell r="B37" t="str">
            <v>Grondstoffen</v>
          </cell>
          <cell r="J37">
            <v>0.04</v>
          </cell>
        </row>
        <row r="38">
          <cell r="B38" t="str">
            <v>Liquiditeiten</v>
          </cell>
          <cell r="C38">
            <v>5.0000000000000001E-3</v>
          </cell>
          <cell r="D38">
            <v>5.0000000000000001E-3</v>
          </cell>
          <cell r="E38">
            <v>6.0000000000000001E-3</v>
          </cell>
          <cell r="F38">
            <v>5.0000000000000001E-3</v>
          </cell>
          <cell r="G38">
            <v>5.0000000000000001E-3</v>
          </cell>
          <cell r="H38">
            <v>5.0000000000000001E-3</v>
          </cell>
          <cell r="J38">
            <v>0.01</v>
          </cell>
          <cell r="L38">
            <v>5.0000000000000001E-3</v>
          </cell>
          <cell r="M38">
            <v>5.0000000000000001E-3</v>
          </cell>
          <cell r="N38">
            <v>5.0000000000000001E-3</v>
          </cell>
        </row>
        <row r="39">
          <cell r="J39">
            <v>0.99999999999999989</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DFC355-C95E-4456-A752-ECFFABD5D967}">
  <dimension ref="H5:J17"/>
  <sheetViews>
    <sheetView topLeftCell="A28" workbookViewId="0">
      <selection activeCell="B56" sqref="B56"/>
    </sheetView>
  </sheetViews>
  <sheetFormatPr defaultRowHeight="15"/>
  <cols>
    <col min="2" max="2" width="53.7109375" customWidth="1"/>
    <col min="8" max="8" width="28.5703125" bestFit="1" customWidth="1"/>
  </cols>
  <sheetData>
    <row r="5" spans="8:10" hidden="1"/>
    <row r="9" spans="8:10">
      <c r="H9" s="1"/>
      <c r="I9" s="1"/>
      <c r="J9" s="1"/>
    </row>
    <row r="14" spans="8:10">
      <c r="H14" s="1"/>
      <c r="I14" s="1"/>
      <c r="J14" s="1"/>
    </row>
    <row r="17" spans="8:10">
      <c r="H17" s="1"/>
      <c r="I17" s="1"/>
      <c r="J17" s="1"/>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A7EBB-02C9-441D-9407-33BE853A55C2}">
  <dimension ref="A2:P32"/>
  <sheetViews>
    <sheetView tabSelected="1" zoomScale="55" zoomScaleNormal="55" workbookViewId="0">
      <selection activeCell="B26" sqref="B26"/>
    </sheetView>
  </sheetViews>
  <sheetFormatPr defaultRowHeight="15"/>
  <cols>
    <col min="2" max="2" width="32.7109375" customWidth="1"/>
    <col min="3" max="3" width="18.140625" bestFit="1" customWidth="1"/>
    <col min="4" max="4" width="16.7109375" bestFit="1" customWidth="1"/>
    <col min="5" max="5" width="11.85546875" bestFit="1" customWidth="1"/>
    <col min="6" max="6" width="22.42578125" bestFit="1" customWidth="1"/>
    <col min="7" max="7" width="23.28515625" bestFit="1" customWidth="1"/>
    <col min="8" max="8" width="16.5703125" bestFit="1" customWidth="1"/>
  </cols>
  <sheetData>
    <row r="2" spans="1:16">
      <c r="B2" s="1" t="s">
        <v>0</v>
      </c>
      <c r="C2" s="1" t="str">
        <f>[1]Blad1!C25</f>
        <v>Module Rendement</v>
      </c>
      <c r="D2" s="1" t="str">
        <f>[1]Blad1!D25</f>
        <v>HF naar Aandelen</v>
      </c>
      <c r="E2" s="1" t="str">
        <f>[1]Blad1!E25</f>
        <v>HF naar rato</v>
      </c>
      <c r="F2" s="1" t="str">
        <f>[1]Blad1!F25</f>
        <v>HF naar Aandelen en VG</v>
      </c>
      <c r="G2" s="1" t="str">
        <f>[1]Blad1!G25</f>
        <v>HF naar Aandelen wereld</v>
      </c>
      <c r="H2" s="1" t="str">
        <f>[1]Blad1!H25</f>
        <v>HF naar Vastgoed</v>
      </c>
      <c r="I2" s="1" t="str">
        <f>[1]Blad1!J25</f>
        <v>HDP</v>
      </c>
      <c r="J2" s="1" t="str">
        <f>[1]Blad1!L25</f>
        <v>HF naar private debt</v>
      </c>
      <c r="K2" s="1" t="str">
        <f>[1]Blad1!M25</f>
        <v>HF naar bank loans</v>
      </c>
      <c r="L2" s="1" t="str">
        <f>[1]Blad1!N25</f>
        <v>HF naar infrastructuur</v>
      </c>
      <c r="M2" s="1"/>
    </row>
    <row r="3" spans="1:16">
      <c r="A3" s="31"/>
      <c r="B3" t="s">
        <v>1</v>
      </c>
      <c r="C3" s="30">
        <f>[1]Blad1!C27</f>
        <v>0.1</v>
      </c>
      <c r="D3" s="30">
        <f>[1]Blad1!D27</f>
        <v>0.12</v>
      </c>
      <c r="E3" s="30">
        <f>[1]Blad1!E27</f>
        <v>0.11</v>
      </c>
      <c r="F3" s="30">
        <f>[1]Blad1!F27</f>
        <v>0.11</v>
      </c>
      <c r="G3" s="30">
        <f>[1]Blad1!G27</f>
        <v>0.1</v>
      </c>
      <c r="H3" s="30">
        <f>[1]Blad1!H27</f>
        <v>0.1</v>
      </c>
      <c r="I3" s="30">
        <f>SUMIF([1]Blad1!$B$26:$B$38,A3,[1]Blad1!$J$26:$J$39)</f>
        <v>0</v>
      </c>
      <c r="J3" s="30">
        <f>[1]Blad1!L27</f>
        <v>0.1</v>
      </c>
      <c r="K3" s="30">
        <f>[1]Blad1!M27</f>
        <v>0.1</v>
      </c>
      <c r="L3" s="30">
        <f>[1]Blad1!N27</f>
        <v>0.1</v>
      </c>
      <c r="P3" s="30"/>
    </row>
    <row r="4" spans="1:16">
      <c r="B4" t="s">
        <v>2</v>
      </c>
      <c r="C4" s="30">
        <f>[1]Blad1!C26*0.5</f>
        <v>0.2</v>
      </c>
      <c r="D4" s="30">
        <f>[1]Blad1!D26*0.5</f>
        <v>0.23749999999999999</v>
      </c>
      <c r="E4" s="30">
        <f>[1]Blad1!E26*0.5</f>
        <v>0.221</v>
      </c>
      <c r="F4" s="30">
        <f>[1]Blad1!F26*0.5</f>
        <v>0.2175</v>
      </c>
      <c r="G4" s="30">
        <f>[1]Blad1!G26*0.5</f>
        <v>0.2475</v>
      </c>
      <c r="H4" s="30">
        <f>[1]Blad1!H26*0.5</f>
        <v>0.2</v>
      </c>
      <c r="I4" s="30">
        <f>[1]Blad1!J26*0.5</f>
        <v>0.17499999999999999</v>
      </c>
      <c r="J4" s="30">
        <f>[1]Blad1!L26*0.5</f>
        <v>0.2</v>
      </c>
      <c r="K4" s="30">
        <f>[1]Blad1!M26*0.5</f>
        <v>0.2</v>
      </c>
      <c r="L4" s="30">
        <f>[1]Blad1!N26*0.5</f>
        <v>0.2</v>
      </c>
    </row>
    <row r="5" spans="1:16">
      <c r="B5" t="s">
        <v>3</v>
      </c>
      <c r="C5" s="30">
        <f>[1]Blad1!C26*0.5</f>
        <v>0.2</v>
      </c>
      <c r="D5" s="30">
        <f>[1]Blad1!D26*0.5</f>
        <v>0.23749999999999999</v>
      </c>
      <c r="E5" s="30">
        <f>[1]Blad1!E26*0.5</f>
        <v>0.221</v>
      </c>
      <c r="F5" s="30">
        <f>[1]Blad1!F26*0.5</f>
        <v>0.2175</v>
      </c>
      <c r="G5" s="30">
        <f>[1]Blad1!G26*0.5</f>
        <v>0.2475</v>
      </c>
      <c r="H5" s="30">
        <f>[1]Blad1!H26*0.5</f>
        <v>0.2</v>
      </c>
      <c r="I5" s="30">
        <f>[1]Blad1!J26*0.5</f>
        <v>0.17499999999999999</v>
      </c>
      <c r="J5" s="30">
        <f>[1]Blad1!L26*0.5</f>
        <v>0.2</v>
      </c>
      <c r="K5" s="30">
        <f>[1]Blad1!M26*0.5</f>
        <v>0.2</v>
      </c>
      <c r="L5" s="30">
        <f>[1]Blad1!N26*0.5</f>
        <v>0.2</v>
      </c>
    </row>
    <row r="6" spans="1:16">
      <c r="A6" s="31"/>
      <c r="B6" t="s">
        <v>4</v>
      </c>
      <c r="C6" s="30">
        <f>[1]Blad1!C30</f>
        <v>0</v>
      </c>
      <c r="D6" s="30">
        <f>[1]Blad1!D30</f>
        <v>0</v>
      </c>
      <c r="E6" s="30">
        <f>[1]Blad1!E30</f>
        <v>0</v>
      </c>
      <c r="F6" s="30">
        <f>[1]Blad1!F30</f>
        <v>0</v>
      </c>
      <c r="G6" s="30">
        <f>[1]Blad1!G30</f>
        <v>0</v>
      </c>
      <c r="H6" s="30">
        <f>[1]Blad1!H30</f>
        <v>0</v>
      </c>
      <c r="I6" s="30">
        <f>SUMIF([1]Blad1!$B$26:$B$38,A6,[1]Blad1!$J$26:$J$39)</f>
        <v>0</v>
      </c>
      <c r="J6" s="30">
        <f>[1]Blad1!L30</f>
        <v>0</v>
      </c>
      <c r="K6" s="30">
        <f>[1]Blad1!M30</f>
        <v>9.5000000000000001E-2</v>
      </c>
      <c r="L6" s="30">
        <f>[1]Blad1!N30</f>
        <v>0</v>
      </c>
    </row>
    <row r="7" spans="1:16">
      <c r="A7" s="31"/>
      <c r="B7" t="s">
        <v>5</v>
      </c>
      <c r="C7" s="30">
        <f>[1]Blad1!C33</f>
        <v>0.04</v>
      </c>
      <c r="D7" s="30">
        <f>[1]Blad1!D33</f>
        <v>0.04</v>
      </c>
      <c r="E7" s="30">
        <f>[1]Blad1!E33</f>
        <v>4.3999999999999997E-2</v>
      </c>
      <c r="F7" s="30">
        <f>[1]Blad1!F33</f>
        <v>0.05</v>
      </c>
      <c r="G7" s="30">
        <f>[1]Blad1!G33</f>
        <v>0.04</v>
      </c>
      <c r="H7" s="30">
        <f>[1]Blad1!H33</f>
        <v>0.06</v>
      </c>
      <c r="I7" s="30"/>
      <c r="J7" s="30">
        <f>[1]Blad1!L33</f>
        <v>0.04</v>
      </c>
      <c r="K7" s="30">
        <f>[1]Blad1!M33</f>
        <v>0.04</v>
      </c>
      <c r="L7" s="30">
        <f>[1]Blad1!N33</f>
        <v>0.04</v>
      </c>
    </row>
    <row r="8" spans="1:16">
      <c r="A8" s="31"/>
      <c r="B8" t="s">
        <v>6</v>
      </c>
      <c r="C8" s="30">
        <f>[1]Blad1!C38</f>
        <v>5.0000000000000001E-3</v>
      </c>
      <c r="D8" s="30">
        <f>[1]Blad1!D38</f>
        <v>5.0000000000000001E-3</v>
      </c>
      <c r="E8" s="30">
        <f>[1]Blad1!E38</f>
        <v>6.0000000000000001E-3</v>
      </c>
      <c r="F8" s="30">
        <f>[1]Blad1!F38</f>
        <v>5.0000000000000001E-3</v>
      </c>
      <c r="G8" s="30">
        <f>[1]Blad1!G38</f>
        <v>5.0000000000000001E-3</v>
      </c>
      <c r="H8" s="30">
        <f>[1]Blad1!H38</f>
        <v>5.0000000000000001E-3</v>
      </c>
      <c r="I8" s="30">
        <f>[1]Blad1!J38</f>
        <v>0.01</v>
      </c>
      <c r="J8" s="30">
        <f>[1]Blad1!L38</f>
        <v>5.0000000000000001E-3</v>
      </c>
      <c r="K8" s="30">
        <f>[1]Blad1!M38</f>
        <v>5.0000000000000001E-3</v>
      </c>
      <c r="L8" s="30">
        <f>[1]Blad1!N38</f>
        <v>5.0000000000000001E-3</v>
      </c>
    </row>
    <row r="9" spans="1:16">
      <c r="A9" s="31"/>
      <c r="B9" t="s">
        <v>7</v>
      </c>
      <c r="C9" s="30">
        <f>[1]Blad1!C28</f>
        <v>0</v>
      </c>
      <c r="D9" s="30">
        <f>[1]Blad1!D28</f>
        <v>0</v>
      </c>
      <c r="E9" s="30">
        <f>[1]Blad1!E28</f>
        <v>0</v>
      </c>
      <c r="F9" s="30">
        <f>[1]Blad1!F28</f>
        <v>0</v>
      </c>
      <c r="G9" s="30">
        <f>[1]Blad1!G28</f>
        <v>0</v>
      </c>
      <c r="H9" s="30">
        <f>[1]Blad1!H28</f>
        <v>0</v>
      </c>
      <c r="I9" s="30">
        <f>[1]Blad1!J28</f>
        <v>0.05</v>
      </c>
      <c r="J9" s="30">
        <f>[1]Blad1!L28</f>
        <v>9.5000000000000001E-2</v>
      </c>
      <c r="K9" s="30">
        <f>[1]Blad1!M28</f>
        <v>0</v>
      </c>
      <c r="L9" s="30">
        <f>[1]Blad1!N28</f>
        <v>0</v>
      </c>
    </row>
    <row r="10" spans="1:16">
      <c r="B10" t="s">
        <v>8</v>
      </c>
      <c r="C10" s="30"/>
      <c r="D10" s="30"/>
      <c r="E10" s="30"/>
      <c r="F10" s="30"/>
      <c r="G10" s="30"/>
      <c r="H10" s="30"/>
      <c r="I10" s="30"/>
      <c r="J10" s="30"/>
      <c r="K10" s="30"/>
      <c r="L10" s="30"/>
    </row>
    <row r="11" spans="1:16">
      <c r="A11" s="31"/>
      <c r="B11" t="s">
        <v>9</v>
      </c>
      <c r="C11" s="30">
        <f>[1]Blad1!C31</f>
        <v>0.1</v>
      </c>
      <c r="D11" s="30">
        <f>[1]Blad1!D31</f>
        <v>0.1</v>
      </c>
      <c r="E11" s="30">
        <f>[1]Blad1!E31</f>
        <v>0.11</v>
      </c>
      <c r="F11" s="30">
        <f>[1]Blad1!F31</f>
        <v>0.1</v>
      </c>
      <c r="G11" s="30">
        <f>[1]Blad1!G31</f>
        <v>0.1</v>
      </c>
      <c r="H11" s="30">
        <f>[1]Blad1!H31</f>
        <v>0.1</v>
      </c>
      <c r="I11" s="30">
        <f>[1]Blad1!J31</f>
        <v>0.05</v>
      </c>
      <c r="J11" s="30">
        <f>[1]Blad1!L31</f>
        <v>0.1</v>
      </c>
      <c r="K11" s="30">
        <f>[1]Blad1!M31</f>
        <v>0.1</v>
      </c>
      <c r="L11" s="30">
        <f>[1]Blad1!N31</f>
        <v>0.1</v>
      </c>
    </row>
    <row r="12" spans="1:16">
      <c r="A12" s="31"/>
      <c r="B12" t="s">
        <v>10</v>
      </c>
      <c r="C12" s="30">
        <f>[1]Blad1!C32</f>
        <v>0</v>
      </c>
      <c r="D12" s="30">
        <f>[1]Blad1!D32</f>
        <v>0</v>
      </c>
      <c r="E12" s="30">
        <f>[1]Blad1!E32</f>
        <v>0</v>
      </c>
      <c r="F12" s="30">
        <f>[1]Blad1!F32</f>
        <v>0</v>
      </c>
      <c r="G12" s="30">
        <f>[1]Blad1!G32</f>
        <v>0</v>
      </c>
      <c r="H12" s="30">
        <f>[1]Blad1!H32</f>
        <v>0</v>
      </c>
      <c r="I12" s="30">
        <f>[1]Blad1!J32</f>
        <v>7.4999999999999997E-2</v>
      </c>
      <c r="J12" s="30">
        <f>[1]Blad1!L32</f>
        <v>0</v>
      </c>
      <c r="K12" s="30">
        <f>[1]Blad1!M32</f>
        <v>0</v>
      </c>
      <c r="L12" s="30">
        <f>[1]Blad1!N32</f>
        <v>0</v>
      </c>
    </row>
    <row r="13" spans="1:16">
      <c r="B13" t="s">
        <v>11</v>
      </c>
      <c r="C13" s="30"/>
      <c r="D13" s="30"/>
      <c r="E13" s="30"/>
      <c r="F13" s="30"/>
      <c r="G13" s="30"/>
      <c r="H13" s="30"/>
      <c r="I13" s="30"/>
      <c r="J13" s="30"/>
      <c r="K13" s="30"/>
      <c r="L13" s="30"/>
    </row>
    <row r="14" spans="1:16">
      <c r="B14" t="s">
        <v>12</v>
      </c>
      <c r="C14" s="30"/>
      <c r="D14" s="30"/>
      <c r="E14" s="30"/>
      <c r="F14" s="30"/>
      <c r="G14" s="30"/>
      <c r="H14" s="30"/>
      <c r="I14" s="30"/>
      <c r="J14" s="30"/>
      <c r="K14" s="30"/>
      <c r="L14" s="30"/>
    </row>
    <row r="15" spans="1:16">
      <c r="B15" t="s">
        <v>13</v>
      </c>
      <c r="C15" s="30"/>
      <c r="D15" s="30"/>
      <c r="E15" s="30"/>
      <c r="F15" s="30"/>
      <c r="G15" s="30"/>
      <c r="H15" s="30"/>
      <c r="I15" s="30"/>
      <c r="J15" s="30"/>
      <c r="K15" s="30"/>
      <c r="L15" s="30"/>
    </row>
    <row r="16" spans="1:16">
      <c r="A16" s="31"/>
      <c r="B16" t="s">
        <v>14</v>
      </c>
      <c r="C16" s="30">
        <f>[1]Blad1!C29</f>
        <v>0.1</v>
      </c>
      <c r="D16" s="30">
        <f>[1]Blad1!D29</f>
        <v>0.1</v>
      </c>
      <c r="E16" s="30">
        <f>[1]Blad1!E29</f>
        <v>0.11</v>
      </c>
      <c r="F16" s="30">
        <f>[1]Blad1!F29</f>
        <v>0.1</v>
      </c>
      <c r="G16" s="30">
        <f>[1]Blad1!G29</f>
        <v>0.1</v>
      </c>
      <c r="H16" s="30">
        <f>[1]Blad1!H29</f>
        <v>0.1</v>
      </c>
      <c r="I16" s="30"/>
      <c r="J16" s="30">
        <f>[1]Blad1!L29</f>
        <v>0.1</v>
      </c>
      <c r="K16" s="30">
        <f>[1]Blad1!M29</f>
        <v>0.1</v>
      </c>
      <c r="L16" s="30">
        <f>[1]Blad1!N29</f>
        <v>0.1</v>
      </c>
    </row>
    <row r="17" spans="1:12">
      <c r="B17" t="s">
        <v>15</v>
      </c>
      <c r="C17" s="30"/>
      <c r="D17" s="30"/>
      <c r="E17" s="30"/>
      <c r="F17" s="30"/>
      <c r="G17" s="30"/>
      <c r="H17" s="30"/>
      <c r="I17" s="30"/>
      <c r="J17" s="30"/>
      <c r="K17" s="30"/>
      <c r="L17" s="30"/>
    </row>
    <row r="18" spans="1:12">
      <c r="B18" t="s">
        <v>16</v>
      </c>
      <c r="C18" s="30"/>
      <c r="D18" s="30"/>
      <c r="E18" s="30"/>
      <c r="F18" s="30"/>
      <c r="G18" s="30"/>
      <c r="H18" s="30"/>
      <c r="I18" s="30"/>
      <c r="J18" s="30"/>
      <c r="K18" s="30"/>
      <c r="L18" s="30"/>
    </row>
    <row r="19" spans="1:12">
      <c r="A19" s="31"/>
      <c r="B19" t="s">
        <v>17</v>
      </c>
      <c r="C19" s="30">
        <f>[1]Blad1!C37</f>
        <v>0</v>
      </c>
      <c r="D19" s="30">
        <f>[1]Blad1!D37</f>
        <v>0</v>
      </c>
      <c r="E19" s="30">
        <f>[1]Blad1!E37</f>
        <v>0</v>
      </c>
      <c r="F19" s="30">
        <f>[1]Blad1!F37</f>
        <v>0</v>
      </c>
      <c r="G19" s="30">
        <f>[1]Blad1!G37</f>
        <v>0</v>
      </c>
      <c r="H19" s="30">
        <f>[1]Blad1!H37</f>
        <v>0</v>
      </c>
      <c r="I19" s="30">
        <f>[1]Blad1!J37</f>
        <v>0.04</v>
      </c>
      <c r="J19" s="30">
        <f>[1]Blad1!L37</f>
        <v>0</v>
      </c>
      <c r="K19" s="30">
        <f>[1]Blad1!M37</f>
        <v>0</v>
      </c>
      <c r="L19" s="30">
        <f>[1]Blad1!N37</f>
        <v>0</v>
      </c>
    </row>
    <row r="20" spans="1:12">
      <c r="A20" s="31"/>
      <c r="B20" t="s">
        <v>18</v>
      </c>
      <c r="C20" s="30">
        <f>[1]Blad1!C35</f>
        <v>9.5000000000000001E-2</v>
      </c>
      <c r="D20" s="30">
        <f>[1]Blad1!D35</f>
        <v>0</v>
      </c>
      <c r="E20" s="30">
        <f>[1]Blad1!E35</f>
        <v>0</v>
      </c>
      <c r="F20" s="30">
        <f>[1]Blad1!F35</f>
        <v>0</v>
      </c>
      <c r="G20" s="30">
        <f>[1]Blad1!G35</f>
        <v>0</v>
      </c>
      <c r="H20" s="30">
        <f>[1]Blad1!H35</f>
        <v>0</v>
      </c>
      <c r="I20" s="30">
        <f>[1]Blad1!J35</f>
        <v>0.05</v>
      </c>
      <c r="J20" s="30">
        <f>[1]Blad1!L35</f>
        <v>0</v>
      </c>
      <c r="K20" s="30">
        <f>[1]Blad1!M35</f>
        <v>0</v>
      </c>
      <c r="L20" s="30">
        <f>[1]Blad1!N35</f>
        <v>0</v>
      </c>
    </row>
    <row r="21" spans="1:12">
      <c r="B21" t="s">
        <v>19</v>
      </c>
      <c r="C21" s="30"/>
      <c r="D21" s="30"/>
      <c r="E21" s="30"/>
      <c r="F21" s="30"/>
      <c r="G21" s="30"/>
      <c r="H21" s="30"/>
      <c r="I21" s="30"/>
      <c r="J21" s="30"/>
      <c r="K21" s="30"/>
      <c r="L21" s="30"/>
    </row>
    <row r="22" spans="1:12">
      <c r="B22" t="s">
        <v>20</v>
      </c>
    </row>
    <row r="23" spans="1:12">
      <c r="B23" t="s">
        <v>21</v>
      </c>
    </row>
    <row r="24" spans="1:12">
      <c r="A24" s="31"/>
      <c r="B24" t="s">
        <v>22</v>
      </c>
      <c r="I24" s="30">
        <f>[1]Blad1!J36</f>
        <v>0.1</v>
      </c>
      <c r="L24" s="30">
        <f>[1]Blad1!$N$36</f>
        <v>9.5000000000000001E-2</v>
      </c>
    </row>
    <row r="25" spans="1:12">
      <c r="A25" s="31"/>
      <c r="B25" t="s">
        <v>23</v>
      </c>
      <c r="C25" s="30">
        <f>[1]Blad1!C34</f>
        <v>0.16</v>
      </c>
      <c r="D25" s="30">
        <f>[1]Blad1!D34</f>
        <v>0.16</v>
      </c>
      <c r="E25" s="30">
        <f>[1]Blad1!E34</f>
        <v>0.17699999999999999</v>
      </c>
      <c r="F25" s="30">
        <f>[1]Blad1!F34</f>
        <v>0.2</v>
      </c>
      <c r="G25" s="30">
        <f>[1]Blad1!G34</f>
        <v>0.16</v>
      </c>
      <c r="H25" s="30">
        <f>[1]Blad1!H34</f>
        <v>0.23499999999999999</v>
      </c>
      <c r="I25" s="30">
        <f>[1]Blad1!J34</f>
        <v>0.17499999999999999</v>
      </c>
      <c r="J25" s="30">
        <f>[1]Blad1!L34</f>
        <v>0.16</v>
      </c>
      <c r="K25" s="30">
        <f>[1]Blad1!M34</f>
        <v>0.16</v>
      </c>
      <c r="L25" s="30">
        <f>[1]Blad1!N34</f>
        <v>0.16</v>
      </c>
    </row>
    <row r="26" spans="1:12">
      <c r="B26" s="1" t="s">
        <v>24</v>
      </c>
      <c r="C26" s="1"/>
      <c r="D26" s="1"/>
      <c r="E26" s="1"/>
      <c r="F26" s="1"/>
      <c r="G26" s="1"/>
    </row>
    <row r="27" spans="1:12">
      <c r="B27" t="s">
        <v>25</v>
      </c>
      <c r="C27">
        <v>0</v>
      </c>
      <c r="D27">
        <v>0</v>
      </c>
      <c r="E27">
        <v>0</v>
      </c>
      <c r="F27">
        <v>0</v>
      </c>
      <c r="G27">
        <v>0</v>
      </c>
      <c r="H27">
        <v>0</v>
      </c>
      <c r="I27">
        <v>0</v>
      </c>
      <c r="J27">
        <v>0</v>
      </c>
      <c r="K27">
        <v>0</v>
      </c>
      <c r="L27">
        <v>0</v>
      </c>
    </row>
    <row r="28" spans="1:12">
      <c r="B28" t="s">
        <v>26</v>
      </c>
      <c r="C28">
        <v>0</v>
      </c>
      <c r="D28">
        <v>0</v>
      </c>
      <c r="E28">
        <v>0</v>
      </c>
      <c r="F28">
        <v>0</v>
      </c>
      <c r="G28">
        <v>0</v>
      </c>
      <c r="H28">
        <v>0</v>
      </c>
      <c r="I28">
        <v>0</v>
      </c>
      <c r="J28">
        <v>0</v>
      </c>
      <c r="K28">
        <v>0</v>
      </c>
      <c r="L28">
        <v>0</v>
      </c>
    </row>
    <row r="29" spans="1:12">
      <c r="B29" s="1" t="s">
        <v>27</v>
      </c>
      <c r="C29" s="1">
        <v>0</v>
      </c>
      <c r="D29" s="1">
        <v>0</v>
      </c>
      <c r="E29" s="1">
        <v>0</v>
      </c>
      <c r="F29" s="1">
        <v>0</v>
      </c>
      <c r="G29" s="1">
        <v>0</v>
      </c>
      <c r="H29" s="1">
        <v>0</v>
      </c>
      <c r="I29" s="1">
        <v>0</v>
      </c>
      <c r="J29" s="1">
        <v>0</v>
      </c>
      <c r="K29" s="1">
        <v>0</v>
      </c>
      <c r="L29" s="1">
        <v>0</v>
      </c>
    </row>
    <row r="32" spans="1:12">
      <c r="C32" s="30">
        <f>SUM(C3:C26)</f>
        <v>1</v>
      </c>
      <c r="D32" s="30">
        <f t="shared" ref="D32:L32" si="0">SUM(D3:D26)</f>
        <v>1</v>
      </c>
      <c r="E32" s="30">
        <f t="shared" si="0"/>
        <v>0.99900000000000011</v>
      </c>
      <c r="F32" s="30">
        <f t="shared" si="0"/>
        <v>1</v>
      </c>
      <c r="G32" s="30">
        <f t="shared" si="0"/>
        <v>1</v>
      </c>
      <c r="H32" s="30">
        <f t="shared" si="0"/>
        <v>1</v>
      </c>
      <c r="I32" s="30">
        <f t="shared" si="0"/>
        <v>0.89999999999999991</v>
      </c>
      <c r="J32" s="30">
        <f t="shared" si="0"/>
        <v>1</v>
      </c>
      <c r="K32" s="30">
        <f t="shared" si="0"/>
        <v>1</v>
      </c>
      <c r="L32" s="30">
        <f t="shared" si="0"/>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3838D-4534-40A6-9B83-8662792FB0D7}">
  <dimension ref="B1:G33"/>
  <sheetViews>
    <sheetView workbookViewId="0">
      <selection activeCell="G20" sqref="G20"/>
    </sheetView>
  </sheetViews>
  <sheetFormatPr defaultRowHeight="15"/>
  <cols>
    <col min="1" max="1" width="14.85546875" customWidth="1"/>
    <col min="2" max="2" width="59.5703125" customWidth="1"/>
    <col min="3" max="3" width="11.42578125" customWidth="1"/>
  </cols>
  <sheetData>
    <row r="1" spans="2:7" ht="15.75" thickBot="1"/>
    <row r="2" spans="2:7">
      <c r="B2" s="10" t="s">
        <v>28</v>
      </c>
      <c r="C2" s="11" t="s">
        <v>29</v>
      </c>
      <c r="D2" s="11" t="s">
        <v>30</v>
      </c>
      <c r="E2" s="23" t="s">
        <v>31</v>
      </c>
      <c r="F2" s="23" t="s">
        <v>32</v>
      </c>
      <c r="G2" s="24" t="s">
        <v>33</v>
      </c>
    </row>
    <row r="3" spans="2:7">
      <c r="B3" s="12" t="s">
        <v>1</v>
      </c>
      <c r="C3" s="25"/>
      <c r="D3" s="25"/>
      <c r="E3" s="25"/>
      <c r="F3" s="25"/>
      <c r="G3" s="26"/>
    </row>
    <row r="4" spans="2:7">
      <c r="B4" s="12" t="s">
        <v>2</v>
      </c>
      <c r="C4" s="25"/>
      <c r="D4" s="25"/>
      <c r="E4" s="25"/>
      <c r="F4" s="25"/>
      <c r="G4" s="26"/>
    </row>
    <row r="5" spans="2:7">
      <c r="B5" s="12" t="s">
        <v>3</v>
      </c>
      <c r="C5" s="25"/>
      <c r="D5" s="25"/>
      <c r="E5" s="25"/>
      <c r="F5" s="25"/>
      <c r="G5" s="26"/>
    </row>
    <row r="6" spans="2:7">
      <c r="B6" s="12" t="s">
        <v>4</v>
      </c>
      <c r="C6" s="25"/>
      <c r="D6" s="25"/>
      <c r="E6" s="25"/>
      <c r="F6" s="25"/>
      <c r="G6" s="26"/>
    </row>
    <row r="7" spans="2:7">
      <c r="B7" s="12" t="s">
        <v>5</v>
      </c>
      <c r="C7" s="25"/>
      <c r="D7" s="25"/>
      <c r="E7" s="25"/>
      <c r="F7" s="25"/>
      <c r="G7" s="26"/>
    </row>
    <row r="8" spans="2:7">
      <c r="B8" s="12" t="s">
        <v>6</v>
      </c>
      <c r="C8" s="25"/>
      <c r="D8" s="25"/>
      <c r="E8" s="25"/>
      <c r="F8" s="25"/>
      <c r="G8" s="26"/>
    </row>
    <row r="9" spans="2:7">
      <c r="B9" s="12" t="s">
        <v>7</v>
      </c>
      <c r="C9" s="25"/>
      <c r="D9" s="25"/>
      <c r="E9" s="25"/>
      <c r="F9" s="25"/>
      <c r="G9" s="26"/>
    </row>
    <row r="10" spans="2:7">
      <c r="B10" s="12" t="s">
        <v>8</v>
      </c>
      <c r="C10" s="25"/>
      <c r="D10" s="25"/>
      <c r="E10" s="25"/>
      <c r="F10" s="25"/>
      <c r="G10" s="26"/>
    </row>
    <row r="11" spans="2:7">
      <c r="B11" s="12" t="s">
        <v>9</v>
      </c>
      <c r="C11" s="25"/>
      <c r="D11" s="25"/>
      <c r="E11" s="25"/>
      <c r="F11" s="25"/>
      <c r="G11" s="26"/>
    </row>
    <row r="12" spans="2:7">
      <c r="B12" s="12" t="s">
        <v>10</v>
      </c>
      <c r="C12" s="25"/>
      <c r="D12" s="25"/>
      <c r="E12" s="25"/>
      <c r="F12" s="25"/>
      <c r="G12" s="26"/>
    </row>
    <row r="13" spans="2:7">
      <c r="B13" s="12" t="s">
        <v>11</v>
      </c>
      <c r="C13" s="25"/>
      <c r="D13" s="25"/>
      <c r="E13" s="25"/>
      <c r="F13" s="25"/>
      <c r="G13" s="26"/>
    </row>
    <row r="14" spans="2:7">
      <c r="B14" s="12" t="s">
        <v>12</v>
      </c>
      <c r="C14" s="25"/>
      <c r="D14" s="25"/>
      <c r="E14" s="25"/>
      <c r="F14" s="25"/>
      <c r="G14" s="26"/>
    </row>
    <row r="15" spans="2:7">
      <c r="B15" s="12" t="s">
        <v>13</v>
      </c>
      <c r="C15" s="25"/>
      <c r="D15" s="25"/>
      <c r="E15" s="25"/>
      <c r="F15" s="25"/>
      <c r="G15" s="26"/>
    </row>
    <row r="16" spans="2:7">
      <c r="B16" s="12" t="s">
        <v>14</v>
      </c>
      <c r="C16" s="25"/>
      <c r="D16" s="25"/>
      <c r="E16" s="25"/>
      <c r="F16" s="25"/>
      <c r="G16" s="26"/>
    </row>
    <row r="17" spans="2:7">
      <c r="B17" s="12" t="s">
        <v>15</v>
      </c>
      <c r="C17" s="25"/>
      <c r="D17" s="25"/>
      <c r="E17" s="25"/>
      <c r="F17" s="25"/>
      <c r="G17" s="26"/>
    </row>
    <row r="18" spans="2:7">
      <c r="B18" s="12" t="s">
        <v>16</v>
      </c>
      <c r="C18" s="25"/>
      <c r="D18" s="25"/>
      <c r="E18" s="25"/>
      <c r="F18" s="25"/>
      <c r="G18" s="26"/>
    </row>
    <row r="19" spans="2:7">
      <c r="B19" s="12" t="s">
        <v>17</v>
      </c>
      <c r="C19" s="25"/>
      <c r="D19" s="25"/>
      <c r="E19" s="25"/>
      <c r="F19" s="25"/>
      <c r="G19" s="26"/>
    </row>
    <row r="20" spans="2:7">
      <c r="B20" s="12" t="s">
        <v>18</v>
      </c>
      <c r="C20" s="25"/>
      <c r="D20" s="25"/>
      <c r="E20" s="25"/>
      <c r="F20" s="25"/>
      <c r="G20" s="26"/>
    </row>
    <row r="21" spans="2:7">
      <c r="B21" s="12" t="s">
        <v>19</v>
      </c>
      <c r="C21" s="25"/>
      <c r="D21" s="25"/>
      <c r="E21" s="25"/>
      <c r="F21" s="25"/>
      <c r="G21" s="26"/>
    </row>
    <row r="22" spans="2:7">
      <c r="B22" s="12" t="s">
        <v>20</v>
      </c>
      <c r="C22" s="25"/>
      <c r="D22" s="25"/>
      <c r="E22" s="25"/>
      <c r="F22" s="25"/>
      <c r="G22" s="26"/>
    </row>
    <row r="23" spans="2:7">
      <c r="B23" s="12" t="s">
        <v>21</v>
      </c>
      <c r="C23" s="25"/>
      <c r="D23" s="25"/>
      <c r="E23" s="25"/>
      <c r="F23" s="25"/>
      <c r="G23" s="26"/>
    </row>
    <row r="24" spans="2:7">
      <c r="B24" s="12" t="s">
        <v>22</v>
      </c>
      <c r="C24" s="25"/>
      <c r="D24" s="25"/>
      <c r="E24" s="25"/>
      <c r="F24" s="25"/>
      <c r="G24" s="26"/>
    </row>
    <row r="25" spans="2:7">
      <c r="B25" s="12" t="s">
        <v>23</v>
      </c>
      <c r="C25" s="25"/>
      <c r="D25" s="25"/>
      <c r="E25" s="25"/>
      <c r="F25" s="25"/>
      <c r="G25" s="26"/>
    </row>
    <row r="26" spans="2:7">
      <c r="B26" s="13" t="s">
        <v>24</v>
      </c>
      <c r="C26" s="27"/>
      <c r="D26" s="27"/>
      <c r="E26" s="27"/>
      <c r="F26" s="27"/>
      <c r="G26" s="28"/>
    </row>
    <row r="27" spans="2:7">
      <c r="B27" s="12" t="str">
        <f>E2</f>
        <v>VRW</v>
      </c>
      <c r="C27" s="25"/>
      <c r="D27" s="25"/>
      <c r="E27" s="6"/>
      <c r="F27" s="2"/>
      <c r="G27" s="14"/>
    </row>
    <row r="28" spans="2:7">
      <c r="B28" s="12" t="str">
        <f>F2</f>
        <v>A</v>
      </c>
      <c r="C28" s="25"/>
      <c r="D28" s="25"/>
      <c r="E28" s="7"/>
      <c r="F28" s="3"/>
      <c r="G28" s="15"/>
    </row>
    <row r="29" spans="2:7">
      <c r="B29" s="12" t="str">
        <f>G2</f>
        <v>B</v>
      </c>
      <c r="C29" s="27"/>
      <c r="D29" s="27"/>
      <c r="E29" s="8"/>
      <c r="F29" s="4"/>
      <c r="G29" s="16"/>
    </row>
    <row r="30" spans="2:7">
      <c r="B30" s="17" t="s">
        <v>34</v>
      </c>
      <c r="C30" s="9"/>
      <c r="D30" s="5"/>
      <c r="E30" s="5"/>
      <c r="F30" s="5"/>
      <c r="G30" s="18"/>
    </row>
    <row r="31" spans="2:7">
      <c r="B31" s="12" t="s">
        <v>25</v>
      </c>
      <c r="C31" s="25"/>
      <c r="D31" s="6"/>
      <c r="E31" s="3"/>
      <c r="F31" s="3"/>
      <c r="G31" s="15"/>
    </row>
    <row r="32" spans="2:7">
      <c r="B32" s="12" t="s">
        <v>26</v>
      </c>
      <c r="C32" s="25"/>
      <c r="D32" s="6"/>
      <c r="E32" s="3"/>
      <c r="F32" s="3"/>
      <c r="G32" s="15"/>
    </row>
    <row r="33" spans="2:7" ht="15.75" thickBot="1">
      <c r="B33" s="19" t="s">
        <v>35</v>
      </c>
      <c r="C33" s="29"/>
      <c r="D33" s="20"/>
      <c r="E33" s="21"/>
      <c r="F33" s="21"/>
      <c r="G33" s="22"/>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79D43D14A1CF34D85E3FC89B76957B4" ma:contentTypeVersion="6" ma:contentTypeDescription="Create a new document." ma:contentTypeScope="" ma:versionID="c3d5319994cb9416b05c49330da49250">
  <xsd:schema xmlns:xsd="http://www.w3.org/2001/XMLSchema" xmlns:xs="http://www.w3.org/2001/XMLSchema" xmlns:p="http://schemas.microsoft.com/office/2006/metadata/properties" xmlns:ns2="73a722ce-c191-4028-85b3-84f55756f43a" xmlns:ns3="a6c3dd2d-674b-4d71-a5e9-616b1dc73735" targetNamespace="http://schemas.microsoft.com/office/2006/metadata/properties" ma:root="true" ma:fieldsID="952a406dfae146deb38b543b47d44d0c" ns2:_="" ns3:_="">
    <xsd:import namespace="73a722ce-c191-4028-85b3-84f55756f43a"/>
    <xsd:import namespace="a6c3dd2d-674b-4d71-a5e9-616b1dc7373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3a722ce-c191-4028-85b3-84f55756f4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6c3dd2d-674b-4d71-a5e9-616b1dc73735"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5AC51C6-0A2B-4C1F-BD9D-BE52572CF47F}"/>
</file>

<file path=customXml/itemProps2.xml><?xml version="1.0" encoding="utf-8"?>
<ds:datastoreItem xmlns:ds="http://schemas.openxmlformats.org/officeDocument/2006/customXml" ds:itemID="{B3B412F0-6262-4F9C-A81D-9CA1E5AAEB24}"/>
</file>

<file path=customXml/itemProps3.xml><?xml version="1.0" encoding="utf-8"?>
<ds:datastoreItem xmlns:ds="http://schemas.openxmlformats.org/officeDocument/2006/customXml" ds:itemID="{7FA8F4B7-2F07-4984-8A8B-EC60F8AFD25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Ivo Klazema (IM)</dc:creator>
  <cp:keywords/>
  <dc:description/>
  <cp:lastModifiedBy/>
  <cp:revision/>
  <dcterms:created xsi:type="dcterms:W3CDTF">2026-05-26T07:48:31Z</dcterms:created>
  <dcterms:modified xsi:type="dcterms:W3CDTF">2026-06-30T21:10:34Z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060a614-08b9-4234-971c-9dfde38f0f70_Enabled">
    <vt:lpwstr>true</vt:lpwstr>
  </property>
  <property fmtid="{D5CDD505-2E9C-101B-9397-08002B2CF9AE}" pid="3" name="MSIP_Label_d060a614-08b9-4234-971c-9dfde38f0f70_SetDate">
    <vt:lpwstr>2026-05-26T09:58:41Z</vt:lpwstr>
  </property>
  <property fmtid="{D5CDD505-2E9C-101B-9397-08002B2CF9AE}" pid="4" name="MSIP_Label_d060a614-08b9-4234-971c-9dfde38f0f70_Method">
    <vt:lpwstr>Privileged</vt:lpwstr>
  </property>
  <property fmtid="{D5CDD505-2E9C-101B-9397-08002B2CF9AE}" pid="5" name="MSIP_Label_d060a614-08b9-4234-971c-9dfde38f0f70_Name">
    <vt:lpwstr>Publiek</vt:lpwstr>
  </property>
  <property fmtid="{D5CDD505-2E9C-101B-9397-08002B2CF9AE}" pid="6" name="MSIP_Label_d060a614-08b9-4234-971c-9dfde38f0f70_SiteId">
    <vt:lpwstr>c37ef212-d4a3-44b6-92df-0d1dff85604f</vt:lpwstr>
  </property>
  <property fmtid="{D5CDD505-2E9C-101B-9397-08002B2CF9AE}" pid="7" name="MSIP_Label_d060a614-08b9-4234-971c-9dfde38f0f70_ActionId">
    <vt:lpwstr>fc6fbc95-9f34-4556-b62e-8e305bc4e6d5</vt:lpwstr>
  </property>
  <property fmtid="{D5CDD505-2E9C-101B-9397-08002B2CF9AE}" pid="8" name="MSIP_Label_d060a614-08b9-4234-971c-9dfde38f0f70_ContentBits">
    <vt:lpwstr>0</vt:lpwstr>
  </property>
  <property fmtid="{D5CDD505-2E9C-101B-9397-08002B2CF9AE}" pid="9" name="MSIP_Label_d060a614-08b9-4234-971c-9dfde38f0f70_Tag">
    <vt:lpwstr>10, 0, 1, 1</vt:lpwstr>
  </property>
  <property fmtid="{D5CDD505-2E9C-101B-9397-08002B2CF9AE}" pid="10" name="ContentTypeId">
    <vt:lpwstr>0x010100779D43D14A1CF34D85E3FC89B76957B4</vt:lpwstr>
  </property>
</Properties>
</file>